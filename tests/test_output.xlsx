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4" customWidth="1" min="4" max="4"/>
    <col width="18" customWidth="1" min="5" max="5"/>
    <col width="18" customWidth="1" min="6" max="6"/>
    <col width="12" customWidth="1" min="7" max="7"/>
    <col width="16" customWidth="1" min="8" max="8"/>
    <col width="10" customWidth="1" min="9" max="9"/>
    <col width="14" customWidth="1" min="10" max="10"/>
    <col width="14" customWidth="1" min="11" max="11"/>
    <col width="16" customWidth="1" min="12" max="12"/>
    <col width="20" customWidth="1" min="13" max="13"/>
  </cols>
  <sheetData>
    <row r="1">
      <c r="A1" s="1" t="inlineStr">
        <is>
          <t>PROPOSAL</t>
        </is>
      </c>
    </row>
    <row r="2">
      <c r="A2" s="2" t="inlineStr">
        <is>
          <t>08/25/2026</t>
        </is>
      </c>
    </row>
    <row r="5">
      <c r="A5" s="3" t="inlineStr">
        <is>
          <t>To:</t>
        </is>
      </c>
      <c r="B5" s="3" t="inlineStr">
        <is>
          <t>Romina Rodriguez</t>
        </is>
      </c>
    </row>
    <row r="6">
      <c r="A6" s="3" t="inlineStr">
        <is>
          <t>Company:</t>
        </is>
      </c>
      <c r="B6" s="3" t="inlineStr">
        <is>
          <t>SPK/Lewis Construction</t>
        </is>
      </c>
    </row>
    <row r="8">
      <c r="A8" s="3" t="inlineStr">
        <is>
          <t>Re:</t>
        </is>
      </c>
      <c r="B8" s="3" t="inlineStr">
        <is>
          <t>Zeta Charter Schools - South Bronx Middle School Renovation</t>
        </is>
      </c>
    </row>
    <row r="12">
      <c r="A12" s="2" t="inlineStr">
        <is>
          <t>Dear Romina,</t>
        </is>
      </c>
    </row>
    <row r="13">
      <c r="A13" s="2" t="inlineStr">
        <is>
          <t>We hereby propose to supply and install STONE &amp; TILE work at the above location as per your plans and specs for the sum of $.............................</t>
        </is>
      </c>
    </row>
    <row r="15">
      <c r="A15" s="3" t="inlineStr">
        <is>
          <t>Summary:</t>
        </is>
      </c>
    </row>
    <row r="16">
      <c r="A16" s="3" t="inlineStr">
        <is>
          <t>Base Bid</t>
        </is>
      </c>
      <c r="E16" s="4">
        <f>L20</f>
        <v/>
      </c>
    </row>
    <row r="19">
      <c r="D19" s="5" t="inlineStr">
        <is>
          <t>Symbol</t>
        </is>
      </c>
      <c r="E19" s="5" t="inlineStr">
        <is>
          <t>Finish Type</t>
        </is>
      </c>
      <c r="F19" s="5" t="inlineStr">
        <is>
          <t>Material Type</t>
        </is>
      </c>
      <c r="G19" s="5" t="inlineStr">
        <is>
          <t>Work Type</t>
        </is>
      </c>
      <c r="H19" s="5" t="inlineStr">
        <is>
          <t>Material Quantity</t>
        </is>
      </c>
      <c r="I19" s="5" t="inlineStr">
        <is>
          <t>Unit</t>
        </is>
      </c>
      <c r="J19" s="5" t="inlineStr">
        <is>
          <t>Material Unit Price</t>
        </is>
      </c>
      <c r="K19" s="5" t="inlineStr">
        <is>
          <t>Labor Unit Price</t>
        </is>
      </c>
      <c r="L19" s="5" t="inlineStr">
        <is>
          <t>Bid Amount</t>
        </is>
      </c>
    </row>
    <row r="20">
      <c r="A20" s="3" t="inlineStr">
        <is>
          <t>BASE BID</t>
        </is>
      </c>
      <c r="L20" s="4">
        <f>L22+L32+L41</f>
        <v/>
      </c>
    </row>
    <row r="21">
      <c r="C21" s="3" t="inlineStr">
        <is>
          <t>1ST FLOOR</t>
        </is>
      </c>
    </row>
    <row r="22">
      <c r="C22" s="3" t="inlineStr">
        <is>
          <t>WC 122A</t>
        </is>
      </c>
      <c r="L22" s="4">
        <f>SUM(L23:L30)</f>
        <v/>
      </c>
    </row>
    <row r="23">
      <c r="D23" s="6" t="inlineStr">
        <is>
          <t>TL-5</t>
        </is>
      </c>
      <c r="E23" s="6" t="inlineStr">
        <is>
          <t>FLOOR</t>
        </is>
      </c>
      <c r="F23" s="6" t="inlineStr">
        <is>
          <t>TILE</t>
        </is>
      </c>
      <c r="G23" s="7" t="inlineStr">
        <is>
          <t>S&amp;I</t>
        </is>
      </c>
      <c r="H23" s="8" t="n">
        <v>49.47</v>
      </c>
      <c r="I23" s="7" t="inlineStr">
        <is>
          <t>SQ FT</t>
        </is>
      </c>
      <c r="J23" s="9" t="n">
        <v>0</v>
      </c>
      <c r="K23" s="9" t="n">
        <v>0</v>
      </c>
      <c r="L23" s="10">
        <f>H23*(J23+K23)</f>
        <v/>
      </c>
    </row>
    <row r="24">
      <c r="D24" s="6" t="inlineStr">
        <is>
          <t>SADDLE</t>
        </is>
      </c>
      <c r="E24" s="6" t="inlineStr">
        <is>
          <t>FLOOR</t>
        </is>
      </c>
      <c r="F24" s="6" t="inlineStr">
        <is>
          <t>STONE</t>
        </is>
      </c>
      <c r="G24" s="7" t="inlineStr">
        <is>
          <t>S&amp;I</t>
        </is>
      </c>
      <c r="H24" s="8" t="n">
        <v>1</v>
      </c>
      <c r="I24" s="7" t="inlineStr">
        <is>
          <t>PCS</t>
        </is>
      </c>
      <c r="J24" s="9" t="n">
        <v>0</v>
      </c>
      <c r="K24" s="9" t="n">
        <v>0</v>
      </c>
      <c r="L24" s="10">
        <f>H24*(J24+K24)</f>
        <v/>
      </c>
    </row>
    <row r="25">
      <c r="D25" s="6" t="inlineStr">
        <is>
          <t>TILE-1</t>
        </is>
      </c>
      <c r="E25" s="6" t="inlineStr">
        <is>
          <t>WALL</t>
        </is>
      </c>
      <c r="F25" s="6" t="inlineStr">
        <is>
          <t>TILE</t>
        </is>
      </c>
      <c r="G25" s="7" t="inlineStr">
        <is>
          <t>S&amp;I</t>
        </is>
      </c>
      <c r="H25" s="8" t="n">
        <v>86.45</v>
      </c>
      <c r="I25" s="7" t="inlineStr">
        <is>
          <t>SQ FT</t>
        </is>
      </c>
      <c r="J25" s="9" t="n">
        <v>0</v>
      </c>
      <c r="K25" s="9" t="n">
        <v>0</v>
      </c>
      <c r="L25" s="10">
        <f>H25*(J25+K25)</f>
        <v/>
      </c>
    </row>
    <row r="26">
      <c r="D26" s="6" t="inlineStr">
        <is>
          <t>TILE-2</t>
        </is>
      </c>
      <c r="E26" s="6" t="inlineStr">
        <is>
          <t>WALL</t>
        </is>
      </c>
      <c r="F26" s="6" t="inlineStr">
        <is>
          <t>TILE</t>
        </is>
      </c>
      <c r="G26" s="7" t="inlineStr">
        <is>
          <t>S&amp;I</t>
        </is>
      </c>
      <c r="H26" s="8" t="n">
        <v>86.45</v>
      </c>
      <c r="I26" s="7" t="inlineStr">
        <is>
          <t>SQ FT</t>
        </is>
      </c>
      <c r="J26" s="9" t="n">
        <v>0</v>
      </c>
      <c r="K26" s="9" t="n">
        <v>0</v>
      </c>
      <c r="L26" s="10">
        <f>H26*(J26+K26)</f>
        <v/>
      </c>
    </row>
    <row r="27">
      <c r="D27" s="6" t="inlineStr">
        <is>
          <t>TILE/BULLNOSE</t>
        </is>
      </c>
      <c r="E27" s="6" t="inlineStr">
        <is>
          <t>TRIM/BULLNOSE</t>
        </is>
      </c>
      <c r="F27" s="6" t="inlineStr">
        <is>
          <t>BULLNOSE</t>
        </is>
      </c>
      <c r="G27" s="7" t="inlineStr">
        <is>
          <t>S&amp;I</t>
        </is>
      </c>
      <c r="H27" s="8" t="n">
        <v>24.69</v>
      </c>
      <c r="I27" s="7" t="inlineStr">
        <is>
          <t>LNFT</t>
        </is>
      </c>
      <c r="J27" s="9" t="n">
        <v>0</v>
      </c>
      <c r="K27" s="9" t="n">
        <v>0</v>
      </c>
      <c r="L27" s="10">
        <f>H27*(J27+K27)</f>
        <v/>
      </c>
    </row>
    <row r="28">
      <c r="D28" s="6" t="inlineStr">
        <is>
          <t>EPOXY</t>
        </is>
      </c>
      <c r="E28" s="6" t="inlineStr">
        <is>
          <t>FLOOR &amp; WALL</t>
        </is>
      </c>
      <c r="F28" s="6" t="inlineStr">
        <is>
          <t>PREP MATERIAL</t>
        </is>
      </c>
      <c r="G28" s="7" t="inlineStr">
        <is>
          <t>S&amp;I</t>
        </is>
      </c>
      <c r="H28" s="8" t="n">
        <v>222.37</v>
      </c>
      <c r="I28" s="7" t="inlineStr">
        <is>
          <t>SQ FT</t>
        </is>
      </c>
      <c r="J28" s="9" t="n">
        <v>0</v>
      </c>
      <c r="K28" s="9" t="n">
        <v>0</v>
      </c>
      <c r="L28" s="10">
        <f>H28*(J28+K28)</f>
        <v/>
      </c>
    </row>
    <row r="29">
      <c r="D29" s="6" t="inlineStr">
        <is>
          <t>WATERPROOF</t>
        </is>
      </c>
      <c r="E29" s="6" t="inlineStr">
        <is>
          <t>FLOOR &amp; WALL</t>
        </is>
      </c>
      <c r="F29" s="6" t="inlineStr">
        <is>
          <t>PREP MATERIAL</t>
        </is>
      </c>
      <c r="G29" s="7" t="inlineStr">
        <is>
          <t>S&amp;I</t>
        </is>
      </c>
      <c r="H29" s="8" t="n">
        <v>49.47</v>
      </c>
      <c r="I29" s="7" t="inlineStr">
        <is>
          <t>SQ FT</t>
        </is>
      </c>
      <c r="J29" s="9" t="n">
        <v>0</v>
      </c>
      <c r="K29" s="9" t="n">
        <v>0</v>
      </c>
      <c r="L29" s="10">
        <f>H29*(J29+K29)</f>
        <v/>
      </c>
    </row>
    <row r="30">
      <c r="D30" s="6" t="inlineStr">
        <is>
          <t>MUDSET</t>
        </is>
      </c>
      <c r="E30" s="6" t="inlineStr">
        <is>
          <t>FLOOR</t>
        </is>
      </c>
      <c r="F30" s="6" t="inlineStr">
        <is>
          <t>PREP MATERIAL</t>
        </is>
      </c>
      <c r="G30" s="7" t="inlineStr">
        <is>
          <t>S&amp;I</t>
        </is>
      </c>
      <c r="H30" s="8" t="n">
        <v>49.47</v>
      </c>
      <c r="I30" s="7" t="inlineStr">
        <is>
          <t>SQ FT</t>
        </is>
      </c>
      <c r="J30" s="9" t="n">
        <v>0</v>
      </c>
      <c r="K30" s="9" t="n">
        <v>0</v>
      </c>
      <c r="L30" s="10">
        <f>H30*(J30+K30)</f>
        <v/>
      </c>
    </row>
    <row r="31">
      <c r="C31" s="3" t="inlineStr">
        <is>
          <t>7TH FLOOR</t>
        </is>
      </c>
    </row>
    <row r="32">
      <c r="C32" s="3" t="inlineStr">
        <is>
          <t>BOYS BATH 711</t>
        </is>
      </c>
      <c r="L32" s="4">
        <f>SUM(L33:L40)</f>
        <v/>
      </c>
    </row>
    <row r="33">
      <c r="D33" s="6" t="inlineStr">
        <is>
          <t>SADDLE</t>
        </is>
      </c>
      <c r="E33" s="6" t="inlineStr">
        <is>
          <t>FLOOR</t>
        </is>
      </c>
      <c r="F33" s="6" t="inlineStr">
        <is>
          <t>STONE</t>
        </is>
      </c>
      <c r="G33" s="7" t="inlineStr">
        <is>
          <t>S&amp;I</t>
        </is>
      </c>
      <c r="H33" s="8" t="n">
        <v>1</v>
      </c>
      <c r="I33" s="7" t="inlineStr">
        <is>
          <t>PCS</t>
        </is>
      </c>
      <c r="J33" s="9" t="n">
        <v>0</v>
      </c>
      <c r="K33" s="9" t="n">
        <v>0</v>
      </c>
      <c r="L33" s="10">
        <f>H33*(J33+K33)</f>
        <v/>
      </c>
    </row>
    <row r="34">
      <c r="D34" s="6" t="inlineStr">
        <is>
          <t>TL-3.1</t>
        </is>
      </c>
      <c r="E34" s="6" t="inlineStr">
        <is>
          <t>WALL</t>
        </is>
      </c>
      <c r="F34" s="6" t="inlineStr">
        <is>
          <t>TILE</t>
        </is>
      </c>
      <c r="G34" s="7" t="inlineStr">
        <is>
          <t>S&amp;I</t>
        </is>
      </c>
      <c r="H34" s="8" t="n">
        <v>49.45</v>
      </c>
      <c r="I34" s="7" t="inlineStr">
        <is>
          <t>SQ FT</t>
        </is>
      </c>
      <c r="J34" s="9" t="n">
        <v>3.06</v>
      </c>
      <c r="K34" s="9" t="n">
        <v>0</v>
      </c>
      <c r="L34" s="10">
        <f>H34*(J34+K34)</f>
        <v/>
      </c>
    </row>
    <row r="35">
      <c r="D35" s="6" t="inlineStr">
        <is>
          <t>TL-3.2</t>
        </is>
      </c>
      <c r="E35" s="6" t="inlineStr">
        <is>
          <t>WALL</t>
        </is>
      </c>
      <c r="F35" s="6" t="inlineStr">
        <is>
          <t>TILE</t>
        </is>
      </c>
      <c r="G35" s="7" t="inlineStr">
        <is>
          <t>S&amp;I</t>
        </is>
      </c>
      <c r="H35" s="8" t="n">
        <v>115.31</v>
      </c>
      <c r="I35" s="7" t="inlineStr">
        <is>
          <t>SQ FT</t>
        </is>
      </c>
      <c r="J35" s="9" t="n">
        <v>3.06</v>
      </c>
      <c r="K35" s="9" t="n">
        <v>0</v>
      </c>
      <c r="L35" s="10">
        <f>H35*(J35+K35)</f>
        <v/>
      </c>
    </row>
    <row r="36">
      <c r="D36" s="6" t="inlineStr">
        <is>
          <t>TL-3.3</t>
        </is>
      </c>
      <c r="E36" s="6" t="inlineStr">
        <is>
          <t>WALL</t>
        </is>
      </c>
      <c r="F36" s="6" t="inlineStr">
        <is>
          <t>TILE</t>
        </is>
      </c>
      <c r="G36" s="7" t="inlineStr">
        <is>
          <t>S&amp;I</t>
        </is>
      </c>
      <c r="H36" s="8" t="n">
        <v>59.3</v>
      </c>
      <c r="I36" s="7" t="inlineStr">
        <is>
          <t>SQ FT</t>
        </is>
      </c>
      <c r="J36" s="9" t="n">
        <v>3.06</v>
      </c>
      <c r="K36" s="9" t="n">
        <v>0</v>
      </c>
      <c r="L36" s="10">
        <f>H36*(J36+K36)</f>
        <v/>
      </c>
    </row>
    <row r="37">
      <c r="D37" s="6" t="inlineStr">
        <is>
          <t>TL-3.4</t>
        </is>
      </c>
      <c r="E37" s="6" t="inlineStr">
        <is>
          <t>WALL</t>
        </is>
      </c>
      <c r="F37" s="6" t="inlineStr">
        <is>
          <t>TILE</t>
        </is>
      </c>
      <c r="G37" s="7" t="inlineStr">
        <is>
          <t>S&amp;I</t>
        </is>
      </c>
      <c r="H37" s="8" t="n">
        <v>59.3</v>
      </c>
      <c r="I37" s="7" t="inlineStr">
        <is>
          <t>SQ FT</t>
        </is>
      </c>
      <c r="J37" s="9" t="n">
        <v>3.06</v>
      </c>
      <c r="K37" s="9" t="n">
        <v>0</v>
      </c>
      <c r="L37" s="10">
        <f>H37*(J37+K37)</f>
        <v/>
      </c>
    </row>
    <row r="38">
      <c r="D38" s="6" t="inlineStr">
        <is>
          <t>TL-3.5</t>
        </is>
      </c>
      <c r="E38" s="6" t="inlineStr">
        <is>
          <t>WALL</t>
        </is>
      </c>
      <c r="F38" s="6" t="inlineStr">
        <is>
          <t>TILE</t>
        </is>
      </c>
      <c r="G38" s="7" t="inlineStr">
        <is>
          <t>S&amp;I</t>
        </is>
      </c>
      <c r="H38" s="8" t="n">
        <v>46.1</v>
      </c>
      <c r="I38" s="7" t="inlineStr">
        <is>
          <t>SQ FT</t>
        </is>
      </c>
      <c r="J38" s="9" t="n">
        <v>3.06</v>
      </c>
      <c r="K38" s="9" t="n">
        <v>0</v>
      </c>
      <c r="L38" s="10">
        <f>H38*(J38+K38)</f>
        <v/>
      </c>
    </row>
    <row r="39">
      <c r="D39" s="6" t="inlineStr">
        <is>
          <t>TL-3/BULLNOSE</t>
        </is>
      </c>
      <c r="E39" s="6" t="inlineStr">
        <is>
          <t>TRIM/BULLNOSE</t>
        </is>
      </c>
      <c r="F39" s="6" t="inlineStr">
        <is>
          <t>BULLNOSE</t>
        </is>
      </c>
      <c r="G39" s="7" t="inlineStr">
        <is>
          <t>S&amp;I</t>
        </is>
      </c>
      <c r="H39" s="8" t="n">
        <v>49.17</v>
      </c>
      <c r="I39" s="7" t="inlineStr">
        <is>
          <t>LNFT</t>
        </is>
      </c>
      <c r="J39" s="9" t="n">
        <v>1.79</v>
      </c>
      <c r="K39" s="9" t="n">
        <v>0</v>
      </c>
      <c r="L39" s="10">
        <f>H39*(J39+K39)</f>
        <v/>
      </c>
    </row>
    <row r="40">
      <c r="D40" s="6" t="inlineStr">
        <is>
          <t>EPOXY</t>
        </is>
      </c>
      <c r="E40" s="6" t="inlineStr">
        <is>
          <t>FLOOR &amp; WALL</t>
        </is>
      </c>
      <c r="F40" s="6" t="inlineStr">
        <is>
          <t>PREP MATERIAL</t>
        </is>
      </c>
      <c r="G40" s="7" t="inlineStr">
        <is>
          <t>S&amp;I</t>
        </is>
      </c>
      <c r="H40" s="8" t="n">
        <v>329.46</v>
      </c>
      <c r="I40" s="7" t="inlineStr">
        <is>
          <t>SQ FT</t>
        </is>
      </c>
      <c r="J40" s="9" t="n">
        <v>0</v>
      </c>
      <c r="K40" s="9" t="n">
        <v>0</v>
      </c>
      <c r="L40" s="10">
        <f>H40*(J40+K40)</f>
        <v/>
      </c>
    </row>
    <row r="41">
      <c r="C41" s="3" t="inlineStr">
        <is>
          <t>GIRLS BATH 712</t>
        </is>
      </c>
      <c r="L41" s="4">
        <f>SUM(L42:L46)</f>
        <v/>
      </c>
    </row>
    <row r="42">
      <c r="D42" s="6" t="inlineStr">
        <is>
          <t>SADDLE</t>
        </is>
      </c>
      <c r="E42" s="6" t="inlineStr">
        <is>
          <t>FLOOR</t>
        </is>
      </c>
      <c r="F42" s="6" t="inlineStr">
        <is>
          <t>STONE</t>
        </is>
      </c>
      <c r="G42" s="7" t="inlineStr">
        <is>
          <t>S&amp;I</t>
        </is>
      </c>
      <c r="H42" s="8" t="n">
        <v>1</v>
      </c>
      <c r="I42" s="7" t="inlineStr">
        <is>
          <t>PCS</t>
        </is>
      </c>
      <c r="J42" s="9" t="n">
        <v>0</v>
      </c>
      <c r="K42" s="9" t="n">
        <v>0</v>
      </c>
      <c r="L42" s="10">
        <f>H42*(J42+K42)</f>
        <v/>
      </c>
    </row>
    <row r="43">
      <c r="D43" s="6" t="inlineStr">
        <is>
          <t>TL-4.1</t>
        </is>
      </c>
      <c r="E43" s="6" t="inlineStr">
        <is>
          <t>WALL</t>
        </is>
      </c>
      <c r="F43" s="6" t="inlineStr">
        <is>
          <t>TILE</t>
        </is>
      </c>
      <c r="G43" s="7" t="inlineStr">
        <is>
          <t>S&amp;I</t>
        </is>
      </c>
      <c r="H43" s="8" t="n">
        <v>55.88</v>
      </c>
      <c r="I43" s="7" t="inlineStr">
        <is>
          <t>SQ FT</t>
        </is>
      </c>
      <c r="J43" s="9" t="n">
        <v>3.06</v>
      </c>
      <c r="K43" s="9" t="n">
        <v>0</v>
      </c>
      <c r="L43" s="10">
        <f>H43*(J43+K43)</f>
        <v/>
      </c>
    </row>
    <row r="44">
      <c r="D44" s="6" t="inlineStr">
        <is>
          <t>TL-4.2</t>
        </is>
      </c>
      <c r="E44" s="6" t="inlineStr">
        <is>
          <t>WALL</t>
        </is>
      </c>
      <c r="F44" s="6" t="inlineStr">
        <is>
          <t>TILE</t>
        </is>
      </c>
      <c r="G44" s="7" t="inlineStr">
        <is>
          <t>S&amp;I</t>
        </is>
      </c>
      <c r="H44" s="8" t="n">
        <v>207.63</v>
      </c>
      <c r="I44" s="7" t="inlineStr">
        <is>
          <t>SQ FT</t>
        </is>
      </c>
      <c r="J44" s="9" t="n">
        <v>3.06</v>
      </c>
      <c r="K44" s="9" t="n">
        <v>0</v>
      </c>
      <c r="L44" s="10">
        <f>H44*(J44+K44)</f>
        <v/>
      </c>
    </row>
    <row r="45">
      <c r="D45" s="6" t="inlineStr">
        <is>
          <t>TL-4/BULLNOSE</t>
        </is>
      </c>
      <c r="E45" s="6" t="inlineStr">
        <is>
          <t>TRIM/BULLNOSE</t>
        </is>
      </c>
      <c r="F45" s="6" t="inlineStr">
        <is>
          <t>BULLNOSE</t>
        </is>
      </c>
      <c r="G45" s="7" t="inlineStr">
        <is>
          <t>S&amp;I</t>
        </is>
      </c>
      <c r="H45" s="8" t="n">
        <v>65.40000000000001</v>
      </c>
      <c r="I45" s="7" t="inlineStr">
        <is>
          <t>LNFT</t>
        </is>
      </c>
      <c r="J45" s="9" t="n">
        <v>1.79</v>
      </c>
      <c r="K45" s="9" t="n">
        <v>0</v>
      </c>
      <c r="L45" s="10">
        <f>H45*(J45+K45)</f>
        <v/>
      </c>
    </row>
    <row r="46">
      <c r="D46" s="6" t="inlineStr">
        <is>
          <t>EPOXY</t>
        </is>
      </c>
      <c r="E46" s="6" t="inlineStr">
        <is>
          <t>FLOOR &amp; WALL</t>
        </is>
      </c>
      <c r="F46" s="6" t="inlineStr">
        <is>
          <t>PREP MATERIAL</t>
        </is>
      </c>
      <c r="G46" s="7" t="inlineStr">
        <is>
          <t>S&amp;I</t>
        </is>
      </c>
      <c r="H46" s="8" t="n">
        <v>328.91</v>
      </c>
      <c r="I46" s="7" t="inlineStr">
        <is>
          <t>SQ FT</t>
        </is>
      </c>
      <c r="J46" s="9" t="n">
        <v>0</v>
      </c>
      <c r="K46" s="9" t="n">
        <v>0</v>
      </c>
      <c r="L46" s="10">
        <f>H46*(J46+K46)</f>
        <v/>
      </c>
    </row>
    <row r="49">
      <c r="A49" s="1" t="inlineStr">
        <is>
          <t>TOTAL</t>
        </is>
      </c>
    </row>
    <row r="50">
      <c r="D50" s="3" t="inlineStr">
        <is>
          <t>EPOXY</t>
        </is>
      </c>
      <c r="H50" s="11" t="n">
        <v>880.74</v>
      </c>
      <c r="I50" s="12" t="inlineStr">
        <is>
          <t>SQ FT</t>
        </is>
      </c>
    </row>
    <row r="51">
      <c r="D51" s="3" t="inlineStr">
        <is>
          <t>MUDSET</t>
        </is>
      </c>
      <c r="H51" s="11" t="n">
        <v>49.47</v>
      </c>
      <c r="I51" s="12" t="inlineStr">
        <is>
          <t>SQ FT</t>
        </is>
      </c>
    </row>
    <row r="52">
      <c r="D52" s="3" t="inlineStr">
        <is>
          <t>SADDLE</t>
        </is>
      </c>
      <c r="H52" s="11" t="n">
        <v>3</v>
      </c>
      <c r="I52" s="12" t="inlineStr">
        <is>
          <t>PCS</t>
        </is>
      </c>
    </row>
    <row r="53">
      <c r="D53" s="3" t="inlineStr">
        <is>
          <t>TILE-1</t>
        </is>
      </c>
      <c r="H53" s="11" t="n">
        <v>86.45</v>
      </c>
      <c r="I53" s="12" t="inlineStr">
        <is>
          <t>SQ FT</t>
        </is>
      </c>
    </row>
    <row r="54">
      <c r="D54" s="3" t="inlineStr">
        <is>
          <t>TILE-2</t>
        </is>
      </c>
      <c r="H54" s="11" t="n">
        <v>86.45</v>
      </c>
      <c r="I54" s="12" t="inlineStr">
        <is>
          <t>SQ FT</t>
        </is>
      </c>
    </row>
    <row r="55">
      <c r="D55" s="3" t="inlineStr">
        <is>
          <t>TILE/BULLNOSE</t>
        </is>
      </c>
      <c r="H55" s="11" t="n">
        <v>24.69</v>
      </c>
      <c r="I55" s="12" t="inlineStr">
        <is>
          <t>LNFT</t>
        </is>
      </c>
    </row>
    <row r="56">
      <c r="D56" s="3" t="inlineStr">
        <is>
          <t>TL-3.1</t>
        </is>
      </c>
      <c r="H56" s="11" t="n">
        <v>49.45</v>
      </c>
      <c r="I56" s="12" t="inlineStr">
        <is>
          <t>SQ FT</t>
        </is>
      </c>
    </row>
    <row r="57">
      <c r="D57" s="3" t="inlineStr">
        <is>
          <t>TL-3.2</t>
        </is>
      </c>
      <c r="H57" s="11" t="n">
        <v>115.31</v>
      </c>
      <c r="I57" s="12" t="inlineStr">
        <is>
          <t>SQ FT</t>
        </is>
      </c>
    </row>
    <row r="58">
      <c r="D58" s="3" t="inlineStr">
        <is>
          <t>TL-3.3</t>
        </is>
      </c>
      <c r="H58" s="11" t="n">
        <v>59.3</v>
      </c>
      <c r="I58" s="12" t="inlineStr">
        <is>
          <t>SQ FT</t>
        </is>
      </c>
    </row>
    <row r="59">
      <c r="D59" s="3" t="inlineStr">
        <is>
          <t>TL-3.4</t>
        </is>
      </c>
      <c r="H59" s="11" t="n">
        <v>59.3</v>
      </c>
      <c r="I59" s="12" t="inlineStr">
        <is>
          <t>SQ FT</t>
        </is>
      </c>
    </row>
    <row r="60">
      <c r="D60" s="3" t="inlineStr">
        <is>
          <t>TL-3.5</t>
        </is>
      </c>
      <c r="H60" s="11" t="n">
        <v>46.1</v>
      </c>
      <c r="I60" s="12" t="inlineStr">
        <is>
          <t>SQ FT</t>
        </is>
      </c>
    </row>
    <row r="61">
      <c r="D61" s="3" t="inlineStr">
        <is>
          <t>TL-3/BULLNOSE</t>
        </is>
      </c>
      <c r="H61" s="11" t="n">
        <v>49.17</v>
      </c>
      <c r="I61" s="12" t="inlineStr">
        <is>
          <t>LNFT</t>
        </is>
      </c>
    </row>
    <row r="62">
      <c r="D62" s="3" t="inlineStr">
        <is>
          <t>TL-4.1</t>
        </is>
      </c>
      <c r="H62" s="11" t="n">
        <v>55.88</v>
      </c>
      <c r="I62" s="12" t="inlineStr">
        <is>
          <t>SQ FT</t>
        </is>
      </c>
    </row>
    <row r="63">
      <c r="D63" s="3" t="inlineStr">
        <is>
          <t>TL-4.2</t>
        </is>
      </c>
      <c r="H63" s="11" t="n">
        <v>207.63</v>
      </c>
      <c r="I63" s="12" t="inlineStr">
        <is>
          <t>SQ FT</t>
        </is>
      </c>
    </row>
    <row r="64">
      <c r="D64" s="3" t="inlineStr">
        <is>
          <t>TL-4/BULLNOSE</t>
        </is>
      </c>
      <c r="H64" s="11" t="n">
        <v>65.40000000000001</v>
      </c>
      <c r="I64" s="12" t="inlineStr">
        <is>
          <t>LNFT</t>
        </is>
      </c>
    </row>
    <row r="65">
      <c r="D65" s="3" t="inlineStr">
        <is>
          <t>TL-5</t>
        </is>
      </c>
      <c r="H65" s="11" t="n">
        <v>49.47</v>
      </c>
      <c r="I65" s="12" t="inlineStr">
        <is>
          <t>SQ FT</t>
        </is>
      </c>
    </row>
    <row r="66">
      <c r="D66" s="3" t="inlineStr">
        <is>
          <t>WATERPROOF</t>
        </is>
      </c>
      <c r="H66" s="11" t="n">
        <v>49.47</v>
      </c>
      <c r="I66" s="12" t="inlineStr">
        <is>
          <t>SQ FT</t>
        </is>
      </c>
    </row>
    <row r="69">
      <c r="A69" s="3" t="inlineStr">
        <is>
          <t>Abbreviations:</t>
        </is>
      </c>
    </row>
    <row r="70">
      <c r="A70" s="2" t="inlineStr">
        <is>
          <t xml:space="preserve">   S&amp;I: Supply &amp; Install</t>
        </is>
      </c>
    </row>
    <row r="71">
      <c r="A71" s="2" t="inlineStr">
        <is>
          <t xml:space="preserve">   IO: Install Only</t>
        </is>
      </c>
    </row>
    <row r="73">
      <c r="A73" s="3" t="inlineStr">
        <is>
          <t>Exclusions:</t>
        </is>
      </c>
    </row>
    <row r="74">
      <c r="A74" s="2" t="inlineStr">
        <is>
          <t>1) Air freight any material.</t>
        </is>
      </c>
    </row>
    <row r="75">
      <c r="A75" s="2" t="inlineStr">
        <is>
          <t>2) Premium/Overtime labor unless agreed in writing.</t>
        </is>
      </c>
    </row>
    <row r="76">
      <c r="A76" s="2" t="inlineStr">
        <is>
          <t>3) Structural subfloor repair or major crack isolation beyond standard prep.</t>
        </is>
      </c>
    </row>
    <row r="79">
      <c r="A79" s="13" t="inlineStr">
        <is>
          <t>Materials Information:</t>
        </is>
      </c>
      <c r="F79" s="14" t="inlineStr">
        <is>
          <t>QUANTITY</t>
        </is>
      </c>
      <c r="G79" s="14" t="inlineStr">
        <is>
          <t>PRICE</t>
        </is>
      </c>
      <c r="H79" s="14" t="inlineStr">
        <is>
          <t>UNIT</t>
        </is>
      </c>
      <c r="I79" s="14" t="inlineStr">
        <is>
          <t>NOTES</t>
        </is>
      </c>
    </row>
    <row r="80">
      <c r="A80" s="2" t="inlineStr">
        <is>
          <t>EPOXY: GENERIC EPOXY GROUT</t>
        </is>
      </c>
      <c r="F80" s="15" t="inlineStr">
        <is>
          <t>880.74 SQ FT</t>
        </is>
      </c>
      <c r="H80" s="12" t="inlineStr">
        <is>
          <t>SQ FT</t>
        </is>
      </c>
      <c r="I80" s="16" t="inlineStr">
        <is>
          <t>High-performance epoxy grout</t>
        </is>
      </c>
    </row>
    <row r="81">
      <c r="A81" s="2" t="inlineStr">
        <is>
          <t>MUDSET: GENERIC MUDSET / MORTAR BED</t>
        </is>
      </c>
      <c r="F81" s="15" t="inlineStr">
        <is>
          <t>49.47 SQ FT</t>
        </is>
      </c>
      <c r="H81" s="12" t="inlineStr">
        <is>
          <t>SQ FT</t>
        </is>
      </c>
      <c r="I81" s="16" t="inlineStr">
        <is>
          <t>Floor leveling / mudset</t>
        </is>
      </c>
    </row>
    <row r="82">
      <c r="A82" s="2" t="inlineStr">
        <is>
          <t>SADDLE: GENERIC STONE SADDLE / MARBLE THRESHOLD</t>
        </is>
      </c>
      <c r="F82" s="15" t="inlineStr">
        <is>
          <t>3.00 PCS</t>
        </is>
      </c>
      <c r="G82" s="17" t="n">
        <v>100</v>
      </c>
      <c r="H82" s="12" t="inlineStr">
        <is>
          <t>PCS</t>
        </is>
      </c>
      <c r="I82" s="16" t="inlineStr">
        <is>
          <t>Generic stone saddle allowance</t>
        </is>
      </c>
    </row>
    <row r="83">
      <c r="A83" s="2" t="inlineStr">
        <is>
          <t>TILE-1: GENERIC TILE</t>
        </is>
      </c>
      <c r="F83" s="15" t="inlineStr">
        <is>
          <t>86.45 SQ FT</t>
        </is>
      </c>
      <c r="H83" s="12" t="inlineStr">
        <is>
          <t>SQ FT</t>
        </is>
      </c>
      <c r="I83" s="16" t="inlineStr">
        <is>
          <t>NO SPEC PROVIDED PLEASE GIVE BUDGET PRICE</t>
        </is>
      </c>
    </row>
    <row r="84">
      <c r="A84" s="2" t="inlineStr">
        <is>
          <t>TILE-2: GENERIC TILE</t>
        </is>
      </c>
      <c r="F84" s="15" t="inlineStr">
        <is>
          <t>86.45 SQ FT</t>
        </is>
      </c>
      <c r="H84" s="12" t="inlineStr">
        <is>
          <t>SQ FT</t>
        </is>
      </c>
      <c r="I84" s="16" t="inlineStr">
        <is>
          <t>NO SPEC PROVIDED PLEASE GIVE BUDGET PRICE</t>
        </is>
      </c>
    </row>
    <row r="85">
      <c r="A85" s="2" t="inlineStr">
        <is>
          <t>TILE/BULLNOSE: GENERIC BULLNOSE TRIM</t>
        </is>
      </c>
      <c r="F85" s="15" t="inlineStr">
        <is>
          <t>24.69 LNFT</t>
        </is>
      </c>
      <c r="H85" s="12" t="inlineStr">
        <is>
          <t>LNFT</t>
        </is>
      </c>
      <c r="I85" s="16" t="inlineStr">
        <is>
          <t>NO SPEC PROVIDED PLEASE GIVE BUDGET PRICE</t>
        </is>
      </c>
    </row>
    <row r="86">
      <c r="A86" s="2" t="inlineStr">
        <is>
          <t>TL-3.1: DALTILE- COLOR WHEEL-MOSAIC SHEET- 2"X2"-SEA BREEZE-FINISH TYPE:SEMI-GLOSS</t>
        </is>
      </c>
      <c r="F86" s="15" t="inlineStr">
        <is>
          <t>49.45 SQ FT</t>
        </is>
      </c>
      <c r="G86" s="17" t="n">
        <v>3.06</v>
      </c>
      <c r="H86" s="12" t="inlineStr">
        <is>
          <t>SQ FT</t>
        </is>
      </c>
      <c r="I86" s="16" t="inlineStr"/>
    </row>
    <row r="87">
      <c r="A87" s="2" t="inlineStr">
        <is>
          <t>TL-3.2: DALTILE- COLOR WHEEL-MOSAIC SHEET- 2"X2"-ARTIC WHITE-FINISH TYPE:SEMI-GLOSS</t>
        </is>
      </c>
      <c r="F87" s="15" t="inlineStr">
        <is>
          <t>115.31 SQ FT</t>
        </is>
      </c>
      <c r="G87" s="17" t="n">
        <v>3.06</v>
      </c>
      <c r="H87" s="12" t="inlineStr">
        <is>
          <t>SQ FT</t>
        </is>
      </c>
      <c r="I87" s="16" t="inlineStr"/>
    </row>
    <row r="88">
      <c r="A88" s="2" t="inlineStr">
        <is>
          <t>TL-3.3: Standard Specification</t>
        </is>
      </c>
      <c r="F88" s="15" t="inlineStr">
        <is>
          <t>59.30 SQ FT</t>
        </is>
      </c>
      <c r="H88" s="12" t="inlineStr">
        <is>
          <t>SQ FT</t>
        </is>
      </c>
      <c r="I88" s="16" t="inlineStr"/>
    </row>
    <row r="89">
      <c r="A89" s="2" t="inlineStr">
        <is>
          <t>TL-3.4: Standard Specification</t>
        </is>
      </c>
      <c r="F89" s="15" t="inlineStr">
        <is>
          <t>59.30 SQ FT</t>
        </is>
      </c>
      <c r="H89" s="12" t="inlineStr">
        <is>
          <t>SQ FT</t>
        </is>
      </c>
      <c r="I89" s="16" t="inlineStr"/>
    </row>
    <row r="90">
      <c r="A90" s="2" t="inlineStr">
        <is>
          <t>TL-3.5: Standard Specification</t>
        </is>
      </c>
      <c r="F90" s="15" t="inlineStr">
        <is>
          <t>46.10 SQ FT</t>
        </is>
      </c>
      <c r="H90" s="12" t="inlineStr">
        <is>
          <t>SQ FT</t>
        </is>
      </c>
      <c r="I90" s="16" t="inlineStr"/>
    </row>
    <row r="91">
      <c r="A91" s="2" t="inlineStr">
        <is>
          <t>TL-3/BULLNOSE: DALTILE- COLOR WHEEL-JOLLY TRIM- 1.5"X12"-DESERT GREY-FINISH TYPE:SEMI-GLOSS</t>
        </is>
      </c>
      <c r="F91" s="15" t="inlineStr">
        <is>
          <t>49.17 LNFT</t>
        </is>
      </c>
      <c r="G91" s="17" t="n">
        <v>1.79</v>
      </c>
      <c r="H91" s="12" t="inlineStr">
        <is>
          <t>LNFT</t>
        </is>
      </c>
      <c r="I91" s="16" t="inlineStr"/>
    </row>
    <row r="92">
      <c r="A92" s="2" t="inlineStr">
        <is>
          <t>TL-4.1: DALTILE- COLOR WHEEL-MOSAIC SHEET- 2"X2"-ORANGE BURST-FINISH TYPE:SEMI-GLOSS</t>
        </is>
      </c>
      <c r="F92" s="15" t="inlineStr">
        <is>
          <t>55.88 SQ FT</t>
        </is>
      </c>
      <c r="G92" s="17" t="n">
        <v>3.06</v>
      </c>
      <c r="H92" s="12" t="inlineStr">
        <is>
          <t>SQ FT</t>
        </is>
      </c>
      <c r="I92" s="16" t="inlineStr"/>
    </row>
    <row r="93">
      <c r="A93" s="2" t="inlineStr">
        <is>
          <t>TL-4.2: DALTILE- COLOR WHEEL-MOSAIC SHEET- 2"X2"-ARTIC WHITE-FINISH TYPE:SEMI-GLOSS</t>
        </is>
      </c>
      <c r="F93" s="15" t="inlineStr">
        <is>
          <t>207.63 SQ FT</t>
        </is>
      </c>
      <c r="G93" s="17" t="n">
        <v>3.06</v>
      </c>
      <c r="H93" s="12" t="inlineStr">
        <is>
          <t>SQ FT</t>
        </is>
      </c>
      <c r="I93" s="16" t="inlineStr"/>
    </row>
    <row r="94">
      <c r="A94" s="2" t="inlineStr">
        <is>
          <t>TL-4/BULLNOSE: DALTILE- COLOR WHEEL-JOLLY TRIM- 1.5"X12"-DESERT GREY-FINISH TYPE:SEMI-GLOSS</t>
        </is>
      </c>
      <c r="F94" s="15" t="inlineStr">
        <is>
          <t>65.40 LNFT</t>
        </is>
      </c>
      <c r="G94" s="17" t="n">
        <v>1.79</v>
      </c>
      <c r="H94" s="12" t="inlineStr">
        <is>
          <t>LNFT</t>
        </is>
      </c>
      <c r="I94" s="16" t="inlineStr"/>
    </row>
    <row r="95">
      <c r="A95" s="2" t="inlineStr">
        <is>
          <t>TL-5: NEMO- REGOLOTTO-12"x24"-PANNO FLAT-FINISH TYPE:MATTE</t>
        </is>
      </c>
      <c r="F95" s="15" t="inlineStr">
        <is>
          <t>49.47 SQ FT</t>
        </is>
      </c>
      <c r="H95" s="12" t="inlineStr">
        <is>
          <t>SQ FT</t>
        </is>
      </c>
      <c r="I95" s="16" t="inlineStr">
        <is>
          <t>Standard floor tile</t>
        </is>
      </c>
    </row>
    <row r="96">
      <c r="A96" s="2" t="inlineStr">
        <is>
          <t>WATERPROOF: GENERIC WATERPROOFING MEMBRANE</t>
        </is>
      </c>
      <c r="F96" s="15" t="inlineStr">
        <is>
          <t>49.47 SQ FT</t>
        </is>
      </c>
      <c r="H96" s="12" t="inlineStr">
        <is>
          <t>SQ FT</t>
        </is>
      </c>
      <c r="I96" s="16" t="inlineStr">
        <is>
          <t>Liquid or sheet waterproofing</t>
        </is>
      </c>
    </row>
    <row r="99">
      <c r="A99" s="3" t="inlineStr">
        <is>
          <t>Best regards,</t>
        </is>
      </c>
    </row>
    <row r="100">
      <c r="A100" s="2" t="inlineStr">
        <is>
          <t>Osman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2026-08-25T17:26:55Z</dcterms:created>
  <dcterms:modified xsi:type="dcterms:W3CDTF">2026-08-25T17:26:55Z</dcterms:modified>
</cp:coreProperties>
</file>